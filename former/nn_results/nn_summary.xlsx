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iuyizhen/myproject/research825/nn_results/"/>
    </mc:Choice>
  </mc:AlternateContent>
  <xr:revisionPtr revIDLastSave="0" documentId="13_ncr:1_{C1F14FFC-22DD-6B47-AB33-451E0E80440B}" xr6:coauthVersionLast="47" xr6:coauthVersionMax="47" xr10:uidLastSave="{00000000-0000-0000-0000-000000000000}"/>
  <bookViews>
    <workbookView xWindow="-31280" yWindow="1620" windowWidth="2880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X2" i="1"/>
  <c r="W3" i="1"/>
  <c r="W2" i="1"/>
  <c r="V2" i="1"/>
  <c r="U2" i="1"/>
</calcChain>
</file>

<file path=xl/sharedStrings.xml><?xml version="1.0" encoding="utf-8"?>
<sst xmlns="http://schemas.openxmlformats.org/spreadsheetml/2006/main" count="55" uniqueCount="55">
  <si>
    <t>パターンNo</t>
  </si>
  <si>
    <t>手法数</t>
  </si>
  <si>
    <t>手法の組み合わせ</t>
  </si>
  <si>
    <t>次元数</t>
  </si>
  <si>
    <t>ROC-AUC (CV)</t>
  </si>
  <si>
    <t>F1-Score (CV)</t>
  </si>
  <si>
    <t>Sensitivity (CV)</t>
  </si>
  <si>
    <t>Precision (CV)</t>
  </si>
  <si>
    <t>Accuracy (CV)</t>
  </si>
  <si>
    <t>Train Cost</t>
  </si>
  <si>
    <t>Cross Validation Cost</t>
  </si>
  <si>
    <t>Cost_Diff (CV - Train)</t>
  </si>
  <si>
    <t>ROC-AUC (Test)</t>
  </si>
  <si>
    <t>F1-Score (Test)</t>
  </si>
  <si>
    <t>Sensitivity (Test)</t>
  </si>
  <si>
    <t>Precision (Test)</t>
  </si>
  <si>
    <t>Accuracy (Test)</t>
  </si>
  <si>
    <t>Test Cost</t>
  </si>
  <si>
    <t>Composite_Score</t>
  </si>
  <si>
    <t>AAC + CTDC + CTDT + MB</t>
  </si>
  <si>
    <t>AAC + CTDT + MB</t>
  </si>
  <si>
    <t>AAC + CTDC + CTDT</t>
  </si>
  <si>
    <t>AAC + MB</t>
  </si>
  <si>
    <t>AAC + CTDC + MB</t>
  </si>
  <si>
    <t>AAC</t>
  </si>
  <si>
    <t>AAC + CTDC</t>
  </si>
  <si>
    <t>AAC + CTDT</t>
  </si>
  <si>
    <t>CTDC + MB</t>
  </si>
  <si>
    <t>CTDC + CTDT + MB</t>
  </si>
  <si>
    <t>AAC + DPC + CTDC + MB</t>
  </si>
  <si>
    <t>AAC + DPC + CTDT + MB</t>
  </si>
  <si>
    <t>DPC + CTDC + MB</t>
  </si>
  <si>
    <t>DPC + CTDC + CTDT + MB</t>
  </si>
  <si>
    <t>AAC + DPC + CTDC + CTDT + MB</t>
  </si>
  <si>
    <t>AAC + DPC + MB</t>
  </si>
  <si>
    <t>CTDC + CTDT</t>
  </si>
  <si>
    <t>CTDC</t>
  </si>
  <si>
    <t>DPC + CTDC</t>
  </si>
  <si>
    <t>CTDT + MB</t>
  </si>
  <si>
    <t>AAC + DPC</t>
  </si>
  <si>
    <t>DPC + CTDT + MB</t>
  </si>
  <si>
    <t>AAC + DPC + CTDT</t>
  </si>
  <si>
    <t>DPC + CTDT</t>
  </si>
  <si>
    <t>DPC + MB</t>
  </si>
  <si>
    <t>AAC + DPC + CTDC + CTDT</t>
  </si>
  <si>
    <t>AAC + DPC + CTDC</t>
  </si>
  <si>
    <t>MB</t>
  </si>
  <si>
    <t>DPC</t>
  </si>
  <si>
    <t>DPC + CTDC + CTDT</t>
  </si>
  <si>
    <t>CTDT</t>
  </si>
  <si>
    <t>train_cost</t>
    <phoneticPr fontId="2"/>
  </si>
  <si>
    <t>cv_cost</t>
    <phoneticPr fontId="2"/>
  </si>
  <si>
    <t>Difference</t>
    <phoneticPr fontId="2"/>
  </si>
  <si>
    <t>Aver_AUC</t>
    <phoneticPr fontId="2"/>
  </si>
  <si>
    <t>Aver_Sen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</si>
</sst>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zoomScale="125" workbookViewId="0">
      <selection activeCell="C10" sqref="C10"/>
    </sheetView>
  </sheetViews>
  <sheetFormatPr baseColWidth="10" defaultColWidth="8.83203125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</row>
    <row r="2" spans="1:25">
      <c r="A2">
        <v>29</v>
      </c>
      <c r="B2">
        <v>4</v>
      </c>
      <c r="C2" t="s">
        <v>19</v>
      </c>
      <c r="D2">
        <v>74</v>
      </c>
      <c r="E2">
        <v>0.83650000000000002</v>
      </c>
      <c r="F2">
        <v>0.48349999999999999</v>
      </c>
      <c r="G2">
        <v>0.70709999999999995</v>
      </c>
      <c r="H2">
        <v>0.36919999999999997</v>
      </c>
      <c r="I2">
        <v>0.78480000000000005</v>
      </c>
      <c r="J2">
        <v>0.2949</v>
      </c>
      <c r="K2">
        <v>1.026</v>
      </c>
      <c r="L2">
        <v>0.73109999999999997</v>
      </c>
      <c r="M2">
        <v>0.89280000000000004</v>
      </c>
      <c r="N2">
        <v>0.30359999999999998</v>
      </c>
      <c r="O2">
        <v>0.94440000000000002</v>
      </c>
      <c r="P2">
        <v>0.18090000000000001</v>
      </c>
      <c r="Q2">
        <v>0.63549999999999995</v>
      </c>
      <c r="R2">
        <v>0.80920000000000003</v>
      </c>
      <c r="S2">
        <v>0.49730000000000002</v>
      </c>
      <c r="U2">
        <f>SUM(J2:J32)</f>
        <v>7.4847999999999999</v>
      </c>
      <c r="V2">
        <f>SUM(K2:K32)</f>
        <v>44.837899999999991</v>
      </c>
      <c r="W2">
        <f>U2-V2</f>
        <v>-37.353099999999991</v>
      </c>
      <c r="X2">
        <f>AVERAGE(E2:E32)</f>
        <v>0.80213870967741951</v>
      </c>
      <c r="Y2">
        <f>AVERAGE(G2:G32)</f>
        <v>0.64810322580645174</v>
      </c>
    </row>
    <row r="3" spans="1:25">
      <c r="A3">
        <v>21</v>
      </c>
      <c r="B3">
        <v>3</v>
      </c>
      <c r="C3" t="s">
        <v>20</v>
      </c>
      <c r="D3">
        <v>53</v>
      </c>
      <c r="E3">
        <v>0.83430000000000004</v>
      </c>
      <c r="F3">
        <v>0.48259999999999997</v>
      </c>
      <c r="G3">
        <v>0.67500000000000004</v>
      </c>
      <c r="H3">
        <v>0.37719999999999998</v>
      </c>
      <c r="I3">
        <v>0.79610000000000003</v>
      </c>
      <c r="J3">
        <v>0.25700000000000001</v>
      </c>
      <c r="K3">
        <v>1.0642</v>
      </c>
      <c r="L3">
        <v>0.80720000000000003</v>
      </c>
      <c r="M3">
        <v>0.87350000000000005</v>
      </c>
      <c r="N3">
        <v>0.31680000000000003</v>
      </c>
      <c r="O3">
        <v>0.88890000000000002</v>
      </c>
      <c r="P3">
        <v>0.1928</v>
      </c>
      <c r="Q3">
        <v>0.67759999999999998</v>
      </c>
      <c r="R3">
        <v>0.79059999999999997</v>
      </c>
      <c r="S3">
        <v>0.46860000000000002</v>
      </c>
      <c r="W3">
        <f>W2/31</f>
        <v>-1.2049387096774191</v>
      </c>
    </row>
    <row r="4" spans="1:25">
      <c r="A4">
        <v>19</v>
      </c>
      <c r="B4">
        <v>3</v>
      </c>
      <c r="C4" t="s">
        <v>21</v>
      </c>
      <c r="D4">
        <v>62</v>
      </c>
      <c r="E4">
        <v>0.82310000000000005</v>
      </c>
      <c r="F4">
        <v>0.45440000000000003</v>
      </c>
      <c r="G4">
        <v>0.73509999999999998</v>
      </c>
      <c r="H4">
        <v>0.33100000000000002</v>
      </c>
      <c r="I4">
        <v>0.75280000000000002</v>
      </c>
      <c r="J4">
        <v>0.39689999999999998</v>
      </c>
      <c r="K4">
        <v>1.0130999999999999</v>
      </c>
      <c r="L4">
        <v>0.61629999999999996</v>
      </c>
      <c r="M4">
        <v>0.91969999999999996</v>
      </c>
      <c r="N4">
        <v>0.31390000000000001</v>
      </c>
      <c r="O4">
        <v>0.97219999999999995</v>
      </c>
      <c r="P4">
        <v>0.18720000000000001</v>
      </c>
      <c r="Q4">
        <v>0.64249999999999996</v>
      </c>
      <c r="R4">
        <v>0.75819999999999999</v>
      </c>
      <c r="S4">
        <v>0.45950000000000002</v>
      </c>
    </row>
    <row r="5" spans="1:25">
      <c r="A5">
        <v>9</v>
      </c>
      <c r="B5">
        <v>2</v>
      </c>
      <c r="C5" t="s">
        <v>22</v>
      </c>
      <c r="D5">
        <v>32</v>
      </c>
      <c r="E5">
        <v>0.8246</v>
      </c>
      <c r="F5">
        <v>0.46970000000000001</v>
      </c>
      <c r="G5">
        <v>0.73140000000000005</v>
      </c>
      <c r="H5">
        <v>0.34899999999999998</v>
      </c>
      <c r="I5">
        <v>0.76910000000000001</v>
      </c>
      <c r="J5">
        <v>0.35460000000000003</v>
      </c>
      <c r="K5">
        <v>1.0528</v>
      </c>
      <c r="L5">
        <v>0.69820000000000004</v>
      </c>
      <c r="M5">
        <v>0.89219999999999999</v>
      </c>
      <c r="N5">
        <v>0.3125</v>
      </c>
      <c r="O5">
        <v>0.97219999999999995</v>
      </c>
      <c r="P5">
        <v>0.1862</v>
      </c>
      <c r="Q5">
        <v>0.64019999999999999</v>
      </c>
      <c r="R5">
        <v>0.78180000000000005</v>
      </c>
      <c r="S5">
        <v>0.44740000000000002</v>
      </c>
    </row>
    <row r="6" spans="1:25">
      <c r="A6">
        <v>20</v>
      </c>
      <c r="B6">
        <v>3</v>
      </c>
      <c r="C6" t="s">
        <v>23</v>
      </c>
      <c r="D6">
        <v>53</v>
      </c>
      <c r="E6">
        <v>0.82020000000000004</v>
      </c>
      <c r="F6">
        <v>0.4476</v>
      </c>
      <c r="G6">
        <v>0.70730000000000004</v>
      </c>
      <c r="H6">
        <v>0.33019999999999999</v>
      </c>
      <c r="I6">
        <v>0.75509999999999999</v>
      </c>
      <c r="J6">
        <v>0.37140000000000001</v>
      </c>
      <c r="K6">
        <v>1.0412999999999999</v>
      </c>
      <c r="L6">
        <v>0.66990000000000005</v>
      </c>
      <c r="M6">
        <v>0.89319999999999999</v>
      </c>
      <c r="N6">
        <v>0.33019999999999999</v>
      </c>
      <c r="O6">
        <v>0.97219999999999995</v>
      </c>
      <c r="P6">
        <v>0.19889999999999999</v>
      </c>
      <c r="Q6">
        <v>0.66820000000000002</v>
      </c>
      <c r="R6">
        <v>0.75639999999999996</v>
      </c>
      <c r="S6">
        <v>0.43269999999999997</v>
      </c>
    </row>
    <row r="7" spans="1:25">
      <c r="A7">
        <v>1</v>
      </c>
      <c r="B7">
        <v>1</v>
      </c>
      <c r="C7" t="s">
        <v>24</v>
      </c>
      <c r="D7">
        <v>20</v>
      </c>
      <c r="E7">
        <v>0.80720000000000003</v>
      </c>
      <c r="F7">
        <v>0.41520000000000001</v>
      </c>
      <c r="G7">
        <v>0.71489999999999998</v>
      </c>
      <c r="H7">
        <v>0.29349999999999998</v>
      </c>
      <c r="I7">
        <v>0.71519999999999995</v>
      </c>
      <c r="J7">
        <v>0.50480000000000003</v>
      </c>
      <c r="K7">
        <v>0.99650000000000005</v>
      </c>
      <c r="L7">
        <v>0.49180000000000001</v>
      </c>
      <c r="M7">
        <v>0.90190000000000003</v>
      </c>
      <c r="N7">
        <v>0.34689999999999999</v>
      </c>
      <c r="O7">
        <v>0.94440000000000002</v>
      </c>
      <c r="P7">
        <v>0.21249999999999999</v>
      </c>
      <c r="Q7">
        <v>0.70089999999999997</v>
      </c>
      <c r="R7">
        <v>0.68959999999999999</v>
      </c>
      <c r="S7">
        <v>0.41189999999999999</v>
      </c>
    </row>
    <row r="8" spans="1:25">
      <c r="A8">
        <v>7</v>
      </c>
      <c r="B8">
        <v>2</v>
      </c>
      <c r="C8" t="s">
        <v>25</v>
      </c>
      <c r="D8">
        <v>41</v>
      </c>
      <c r="E8">
        <v>0.80330000000000001</v>
      </c>
      <c r="F8">
        <v>0.44019999999999998</v>
      </c>
      <c r="G8">
        <v>0.72689999999999999</v>
      </c>
      <c r="H8">
        <v>0.31669999999999998</v>
      </c>
      <c r="I8">
        <v>0.73929999999999996</v>
      </c>
      <c r="J8">
        <v>0.49220000000000003</v>
      </c>
      <c r="K8">
        <v>1.0286</v>
      </c>
      <c r="L8">
        <v>0.53639999999999999</v>
      </c>
      <c r="M8">
        <v>0.90920000000000001</v>
      </c>
      <c r="N8">
        <v>0.3417</v>
      </c>
      <c r="O8">
        <v>0.94440000000000002</v>
      </c>
      <c r="P8">
        <v>0.20860000000000001</v>
      </c>
      <c r="Q8">
        <v>0.69389999999999996</v>
      </c>
      <c r="R8">
        <v>0.65710000000000002</v>
      </c>
      <c r="S8">
        <v>0.38240000000000002</v>
      </c>
    </row>
    <row r="9" spans="1:25">
      <c r="A9">
        <v>8</v>
      </c>
      <c r="B9">
        <v>2</v>
      </c>
      <c r="C9" t="s">
        <v>26</v>
      </c>
      <c r="D9">
        <v>41</v>
      </c>
      <c r="E9">
        <v>0.80759999999999998</v>
      </c>
      <c r="F9">
        <v>0.44550000000000001</v>
      </c>
      <c r="G9">
        <v>0.72330000000000005</v>
      </c>
      <c r="H9">
        <v>0.32240000000000002</v>
      </c>
      <c r="I9">
        <v>0.74719999999999998</v>
      </c>
      <c r="J9">
        <v>0.36880000000000002</v>
      </c>
      <c r="K9">
        <v>1.0881000000000001</v>
      </c>
      <c r="L9">
        <v>0.71930000000000005</v>
      </c>
      <c r="M9">
        <v>0.91500000000000004</v>
      </c>
      <c r="N9">
        <v>0.27779999999999999</v>
      </c>
      <c r="O9">
        <v>0.97219999999999995</v>
      </c>
      <c r="P9">
        <v>0.16200000000000001</v>
      </c>
      <c r="Q9">
        <v>0.57479999999999998</v>
      </c>
      <c r="R9">
        <v>0.84089999999999998</v>
      </c>
      <c r="S9">
        <v>0.35980000000000001</v>
      </c>
    </row>
    <row r="10" spans="1:25">
      <c r="A10">
        <v>14</v>
      </c>
      <c r="B10">
        <v>2</v>
      </c>
      <c r="C10" t="s">
        <v>27</v>
      </c>
      <c r="D10">
        <v>33</v>
      </c>
      <c r="E10">
        <v>0.78159999999999996</v>
      </c>
      <c r="F10">
        <v>0.4032</v>
      </c>
      <c r="G10">
        <v>0.69930000000000003</v>
      </c>
      <c r="H10">
        <v>0.2843</v>
      </c>
      <c r="I10">
        <v>0.71009999999999995</v>
      </c>
      <c r="J10">
        <v>0.54390000000000005</v>
      </c>
      <c r="K10">
        <v>1.0722</v>
      </c>
      <c r="L10">
        <v>0.52829999999999999</v>
      </c>
      <c r="M10">
        <v>0.72729999999999995</v>
      </c>
      <c r="N10">
        <v>0.2077</v>
      </c>
      <c r="O10">
        <v>0.75</v>
      </c>
      <c r="P10">
        <v>0.1205</v>
      </c>
      <c r="Q10">
        <v>0.51870000000000005</v>
      </c>
      <c r="R10">
        <v>1.0383</v>
      </c>
      <c r="S10">
        <v>0.27900000000000003</v>
      </c>
    </row>
    <row r="11" spans="1:25">
      <c r="A11">
        <v>25</v>
      </c>
      <c r="B11">
        <v>3</v>
      </c>
      <c r="C11" t="s">
        <v>28</v>
      </c>
      <c r="D11">
        <v>54</v>
      </c>
      <c r="E11">
        <v>0.78720000000000001</v>
      </c>
      <c r="F11">
        <v>0.41860000000000003</v>
      </c>
      <c r="G11">
        <v>0.67490000000000006</v>
      </c>
      <c r="H11">
        <v>0.30459999999999998</v>
      </c>
      <c r="I11">
        <v>0.73599999999999999</v>
      </c>
      <c r="J11">
        <v>0.4254</v>
      </c>
      <c r="K11">
        <v>1.0905</v>
      </c>
      <c r="L11">
        <v>0.66510000000000002</v>
      </c>
      <c r="M11">
        <v>0.82630000000000003</v>
      </c>
      <c r="N11">
        <v>0.29459999999999997</v>
      </c>
      <c r="O11">
        <v>0.91669999999999996</v>
      </c>
      <c r="P11">
        <v>0.17549999999999999</v>
      </c>
      <c r="Q11">
        <v>0.63080000000000003</v>
      </c>
      <c r="R11">
        <v>0.84809999999999997</v>
      </c>
      <c r="S11">
        <v>0.2737</v>
      </c>
    </row>
    <row r="12" spans="1:25">
      <c r="A12">
        <v>27</v>
      </c>
      <c r="B12">
        <v>4</v>
      </c>
      <c r="C12" t="s">
        <v>29</v>
      </c>
      <c r="D12">
        <v>453</v>
      </c>
      <c r="E12">
        <v>0.83450000000000002</v>
      </c>
      <c r="F12">
        <v>0.52149999999999996</v>
      </c>
      <c r="G12">
        <v>0.65090000000000003</v>
      </c>
      <c r="H12">
        <v>0.43690000000000001</v>
      </c>
      <c r="I12">
        <v>0.83199999999999996</v>
      </c>
      <c r="J12">
        <v>9.2999999999999992E-3</v>
      </c>
      <c r="K12">
        <v>1.6486000000000001</v>
      </c>
      <c r="L12">
        <v>1.6393</v>
      </c>
      <c r="M12">
        <v>0.95540000000000003</v>
      </c>
      <c r="N12">
        <v>0.41980000000000001</v>
      </c>
      <c r="O12">
        <v>0.94440000000000002</v>
      </c>
      <c r="P12">
        <v>0.26979999999999998</v>
      </c>
      <c r="Q12">
        <v>0.78039999999999998</v>
      </c>
      <c r="R12">
        <v>0.74580000000000002</v>
      </c>
      <c r="S12">
        <v>0.27179999999999999</v>
      </c>
    </row>
    <row r="13" spans="1:25">
      <c r="A13">
        <v>28</v>
      </c>
      <c r="B13">
        <v>4</v>
      </c>
      <c r="C13" t="s">
        <v>30</v>
      </c>
      <c r="D13">
        <v>453</v>
      </c>
      <c r="E13">
        <v>0.83430000000000004</v>
      </c>
      <c r="F13">
        <v>0.51780000000000004</v>
      </c>
      <c r="G13">
        <v>0.63080000000000003</v>
      </c>
      <c r="H13">
        <v>0.43980000000000002</v>
      </c>
      <c r="I13">
        <v>0.83599999999999997</v>
      </c>
      <c r="J13">
        <v>8.3999999999999995E-3</v>
      </c>
      <c r="K13">
        <v>1.6756</v>
      </c>
      <c r="L13">
        <v>1.6672</v>
      </c>
      <c r="M13">
        <v>0.96179999999999999</v>
      </c>
      <c r="N13">
        <v>0.41920000000000002</v>
      </c>
      <c r="O13">
        <v>0.97219999999999995</v>
      </c>
      <c r="P13">
        <v>0.26719999999999999</v>
      </c>
      <c r="Q13">
        <v>0.77339999999999998</v>
      </c>
      <c r="R13">
        <v>0.7359</v>
      </c>
      <c r="S13">
        <v>0.26419999999999999</v>
      </c>
    </row>
    <row r="14" spans="1:25">
      <c r="A14">
        <v>23</v>
      </c>
      <c r="B14">
        <v>3</v>
      </c>
      <c r="C14" t="s">
        <v>31</v>
      </c>
      <c r="D14">
        <v>433</v>
      </c>
      <c r="E14">
        <v>0.83150000000000002</v>
      </c>
      <c r="F14">
        <v>0.5091</v>
      </c>
      <c r="G14">
        <v>0.61080000000000001</v>
      </c>
      <c r="H14">
        <v>0.4385</v>
      </c>
      <c r="I14">
        <v>0.83479999999999999</v>
      </c>
      <c r="J14">
        <v>7.1000000000000004E-3</v>
      </c>
      <c r="K14">
        <v>1.7014</v>
      </c>
      <c r="L14">
        <v>1.6942999999999999</v>
      </c>
      <c r="M14">
        <v>0.92430000000000001</v>
      </c>
      <c r="N14">
        <v>0.3926</v>
      </c>
      <c r="O14">
        <v>0.88890000000000002</v>
      </c>
      <c r="P14">
        <v>0.252</v>
      </c>
      <c r="Q14">
        <v>0.76870000000000005</v>
      </c>
      <c r="R14">
        <v>0.84850000000000003</v>
      </c>
      <c r="S14">
        <v>0.24410000000000001</v>
      </c>
    </row>
    <row r="15" spans="1:25">
      <c r="A15">
        <v>30</v>
      </c>
      <c r="B15">
        <v>4</v>
      </c>
      <c r="C15" t="s">
        <v>32</v>
      </c>
      <c r="D15">
        <v>454</v>
      </c>
      <c r="E15">
        <v>0.82809999999999995</v>
      </c>
      <c r="F15">
        <v>0.51939999999999997</v>
      </c>
      <c r="G15">
        <v>0.627</v>
      </c>
      <c r="H15">
        <v>0.44440000000000002</v>
      </c>
      <c r="I15">
        <v>0.83819999999999995</v>
      </c>
      <c r="J15">
        <v>7.7000000000000002E-3</v>
      </c>
      <c r="K15">
        <v>1.6768000000000001</v>
      </c>
      <c r="L15">
        <v>1.6691</v>
      </c>
      <c r="M15">
        <v>0.95389999999999997</v>
      </c>
      <c r="N15">
        <v>0.44440000000000002</v>
      </c>
      <c r="O15">
        <v>0.94440000000000002</v>
      </c>
      <c r="P15">
        <v>0.29060000000000002</v>
      </c>
      <c r="Q15">
        <v>0.8014</v>
      </c>
      <c r="R15">
        <v>0.57620000000000005</v>
      </c>
      <c r="S15">
        <v>0.2336</v>
      </c>
    </row>
    <row r="16" spans="1:25">
      <c r="A16">
        <v>31</v>
      </c>
      <c r="B16">
        <v>5</v>
      </c>
      <c r="C16" t="s">
        <v>33</v>
      </c>
      <c r="D16">
        <v>474</v>
      </c>
      <c r="E16">
        <v>0.82830000000000004</v>
      </c>
      <c r="F16">
        <v>0.51090000000000002</v>
      </c>
      <c r="G16">
        <v>0.59840000000000004</v>
      </c>
      <c r="H16">
        <v>0.44719999999999999</v>
      </c>
      <c r="I16">
        <v>0.83930000000000005</v>
      </c>
      <c r="J16">
        <v>7.0000000000000001E-3</v>
      </c>
      <c r="K16">
        <v>1.7605999999999999</v>
      </c>
      <c r="L16">
        <v>1.7536</v>
      </c>
      <c r="M16">
        <v>0.92279999999999995</v>
      </c>
      <c r="N16">
        <v>0.34920000000000001</v>
      </c>
      <c r="O16">
        <v>0.91669999999999996</v>
      </c>
      <c r="P16">
        <v>0.2157</v>
      </c>
      <c r="Q16">
        <v>0.71260000000000001</v>
      </c>
      <c r="R16">
        <v>0.94679999999999997</v>
      </c>
      <c r="S16">
        <v>0.2145</v>
      </c>
    </row>
    <row r="17" spans="1:19">
      <c r="A17">
        <v>18</v>
      </c>
      <c r="B17">
        <v>3</v>
      </c>
      <c r="C17" t="s">
        <v>34</v>
      </c>
      <c r="D17">
        <v>432</v>
      </c>
      <c r="E17">
        <v>0.82489999999999997</v>
      </c>
      <c r="F17">
        <v>0.5071</v>
      </c>
      <c r="G17">
        <v>0.61060000000000003</v>
      </c>
      <c r="H17">
        <v>0.43519999999999998</v>
      </c>
      <c r="I17">
        <v>0.83309999999999995</v>
      </c>
      <c r="J17">
        <v>9.4000000000000004E-3</v>
      </c>
      <c r="K17">
        <v>1.7131000000000001</v>
      </c>
      <c r="L17">
        <v>1.7037</v>
      </c>
      <c r="M17">
        <v>0.9657</v>
      </c>
      <c r="N17">
        <v>0.41420000000000001</v>
      </c>
      <c r="O17">
        <v>0.97219999999999995</v>
      </c>
      <c r="P17">
        <v>0.26319999999999999</v>
      </c>
      <c r="Q17">
        <v>0.76870000000000005</v>
      </c>
      <c r="R17">
        <v>0.68069999999999997</v>
      </c>
      <c r="S17">
        <v>0.2099</v>
      </c>
    </row>
    <row r="18" spans="1:19">
      <c r="A18">
        <v>13</v>
      </c>
      <c r="B18">
        <v>2</v>
      </c>
      <c r="C18" t="s">
        <v>35</v>
      </c>
      <c r="D18">
        <v>42</v>
      </c>
      <c r="E18">
        <v>0.76249999999999996</v>
      </c>
      <c r="F18">
        <v>0.4042</v>
      </c>
      <c r="G18">
        <v>0.68710000000000004</v>
      </c>
      <c r="H18">
        <v>0.28710000000000002</v>
      </c>
      <c r="I18">
        <v>0.71519999999999995</v>
      </c>
      <c r="J18">
        <v>0.55359999999999998</v>
      </c>
      <c r="K18">
        <v>1.1027</v>
      </c>
      <c r="L18">
        <v>0.54910000000000003</v>
      </c>
      <c r="M18">
        <v>0.78620000000000001</v>
      </c>
      <c r="N18">
        <v>0.22140000000000001</v>
      </c>
      <c r="O18">
        <v>0.80559999999999998</v>
      </c>
      <c r="P18">
        <v>0.1283</v>
      </c>
      <c r="Q18">
        <v>0.52339999999999998</v>
      </c>
      <c r="R18">
        <v>0.91859999999999997</v>
      </c>
      <c r="S18">
        <v>0.18129999999999999</v>
      </c>
    </row>
    <row r="19" spans="1:19">
      <c r="A19">
        <v>3</v>
      </c>
      <c r="B19">
        <v>1</v>
      </c>
      <c r="C19" t="s">
        <v>36</v>
      </c>
      <c r="D19">
        <v>21</v>
      </c>
      <c r="E19">
        <v>0.74380000000000002</v>
      </c>
      <c r="F19">
        <v>0.39240000000000003</v>
      </c>
      <c r="G19">
        <v>0.70330000000000004</v>
      </c>
      <c r="H19">
        <v>0.2727</v>
      </c>
      <c r="I19">
        <v>0.69720000000000004</v>
      </c>
      <c r="J19">
        <v>0.78839999999999999</v>
      </c>
      <c r="K19">
        <v>1.0873999999999999</v>
      </c>
      <c r="L19">
        <v>0.29899999999999999</v>
      </c>
      <c r="M19">
        <v>0.78380000000000005</v>
      </c>
      <c r="N19">
        <v>0.24890000000000001</v>
      </c>
      <c r="O19">
        <v>0.80559999999999998</v>
      </c>
      <c r="P19">
        <v>0.1472</v>
      </c>
      <c r="Q19">
        <v>0.59109999999999996</v>
      </c>
      <c r="R19">
        <v>0.88770000000000004</v>
      </c>
      <c r="S19">
        <v>0.15</v>
      </c>
    </row>
    <row r="20" spans="1:19">
      <c r="A20">
        <v>10</v>
      </c>
      <c r="B20">
        <v>2</v>
      </c>
      <c r="C20" t="s">
        <v>37</v>
      </c>
      <c r="D20">
        <v>421</v>
      </c>
      <c r="E20">
        <v>0.81379999999999997</v>
      </c>
      <c r="F20">
        <v>0.50080000000000002</v>
      </c>
      <c r="G20">
        <v>0.59040000000000004</v>
      </c>
      <c r="H20">
        <v>0.43680000000000002</v>
      </c>
      <c r="I20">
        <v>0.83479999999999999</v>
      </c>
      <c r="J20">
        <v>8.6E-3</v>
      </c>
      <c r="K20">
        <v>1.7841</v>
      </c>
      <c r="L20">
        <v>1.7755000000000001</v>
      </c>
      <c r="M20">
        <v>0.94389999999999996</v>
      </c>
      <c r="N20">
        <v>0.48120000000000002</v>
      </c>
      <c r="O20">
        <v>0.88890000000000002</v>
      </c>
      <c r="P20">
        <v>0.32990000000000003</v>
      </c>
      <c r="Q20">
        <v>0.83879999999999999</v>
      </c>
      <c r="R20">
        <v>0.61040000000000005</v>
      </c>
      <c r="S20">
        <v>0.1389</v>
      </c>
    </row>
    <row r="21" spans="1:19">
      <c r="A21">
        <v>15</v>
      </c>
      <c r="B21">
        <v>2</v>
      </c>
      <c r="C21" t="s">
        <v>38</v>
      </c>
      <c r="D21">
        <v>33</v>
      </c>
      <c r="E21">
        <v>0.7601</v>
      </c>
      <c r="F21">
        <v>0.4</v>
      </c>
      <c r="G21">
        <v>0.67469999999999997</v>
      </c>
      <c r="H21">
        <v>0.28520000000000001</v>
      </c>
      <c r="I21">
        <v>0.7157</v>
      </c>
      <c r="J21">
        <v>0.4904</v>
      </c>
      <c r="K21">
        <v>1.1785000000000001</v>
      </c>
      <c r="L21">
        <v>0.68810000000000004</v>
      </c>
      <c r="M21">
        <v>0.79279999999999995</v>
      </c>
      <c r="N21">
        <v>0.251</v>
      </c>
      <c r="O21">
        <v>0.86109999999999998</v>
      </c>
      <c r="P21">
        <v>0.1469</v>
      </c>
      <c r="Q21">
        <v>0.56779999999999997</v>
      </c>
      <c r="R21">
        <v>0.93379999999999996</v>
      </c>
      <c r="S21">
        <v>0.13669999999999999</v>
      </c>
    </row>
    <row r="22" spans="1:19">
      <c r="A22">
        <v>6</v>
      </c>
      <c r="B22">
        <v>2</v>
      </c>
      <c r="C22" t="s">
        <v>39</v>
      </c>
      <c r="D22">
        <v>420</v>
      </c>
      <c r="E22">
        <v>0.81189999999999996</v>
      </c>
      <c r="F22">
        <v>0.48039999999999999</v>
      </c>
      <c r="G22">
        <v>0.60240000000000005</v>
      </c>
      <c r="H22">
        <v>0.4007</v>
      </c>
      <c r="I22">
        <v>0.81740000000000002</v>
      </c>
      <c r="J22">
        <v>8.0999999999999996E-3</v>
      </c>
      <c r="K22">
        <v>1.8263</v>
      </c>
      <c r="L22">
        <v>1.8181</v>
      </c>
      <c r="M22">
        <v>0.91969999999999996</v>
      </c>
      <c r="N22">
        <v>0.4052</v>
      </c>
      <c r="O22">
        <v>0.86109999999999998</v>
      </c>
      <c r="P22">
        <v>0.26500000000000001</v>
      </c>
      <c r="Q22">
        <v>0.78739999999999999</v>
      </c>
      <c r="R22">
        <v>0.78010000000000002</v>
      </c>
      <c r="S22">
        <v>0.1196</v>
      </c>
    </row>
    <row r="23" spans="1:19">
      <c r="A23">
        <v>24</v>
      </c>
      <c r="B23">
        <v>3</v>
      </c>
      <c r="C23" t="s">
        <v>40</v>
      </c>
      <c r="D23">
        <v>433</v>
      </c>
      <c r="E23">
        <v>0.81140000000000001</v>
      </c>
      <c r="F23">
        <v>0.47939999999999999</v>
      </c>
      <c r="G23">
        <v>0.57069999999999999</v>
      </c>
      <c r="H23">
        <v>0.41520000000000001</v>
      </c>
      <c r="I23">
        <v>0.82640000000000002</v>
      </c>
      <c r="J23">
        <v>7.7999999999999996E-3</v>
      </c>
      <c r="K23">
        <v>1.8344</v>
      </c>
      <c r="L23">
        <v>1.8266</v>
      </c>
      <c r="M23">
        <v>0.93710000000000004</v>
      </c>
      <c r="N23">
        <v>0.33660000000000001</v>
      </c>
      <c r="O23">
        <v>0.94440000000000002</v>
      </c>
      <c r="P23">
        <v>0.20480000000000001</v>
      </c>
      <c r="Q23">
        <v>0.68689999999999996</v>
      </c>
      <c r="R23">
        <v>1.1462000000000001</v>
      </c>
      <c r="S23">
        <v>0.11509999999999999</v>
      </c>
    </row>
    <row r="24" spans="1:19">
      <c r="A24">
        <v>17</v>
      </c>
      <c r="B24">
        <v>3</v>
      </c>
      <c r="C24" t="s">
        <v>41</v>
      </c>
      <c r="D24">
        <v>441</v>
      </c>
      <c r="E24">
        <v>0.80740000000000001</v>
      </c>
      <c r="F24">
        <v>0.48720000000000002</v>
      </c>
      <c r="G24">
        <v>0.60680000000000001</v>
      </c>
      <c r="H24">
        <v>0.40760000000000002</v>
      </c>
      <c r="I24">
        <v>0.82130000000000003</v>
      </c>
      <c r="J24">
        <v>1.1299999999999999E-2</v>
      </c>
      <c r="K24">
        <v>1.7777000000000001</v>
      </c>
      <c r="L24">
        <v>1.7664</v>
      </c>
      <c r="M24">
        <v>0.96589999999999998</v>
      </c>
      <c r="N24">
        <v>0.36359999999999998</v>
      </c>
      <c r="O24">
        <v>1</v>
      </c>
      <c r="P24">
        <v>0.22220000000000001</v>
      </c>
      <c r="Q24">
        <v>0.7056</v>
      </c>
      <c r="R24">
        <v>0.91979999999999995</v>
      </c>
      <c r="S24">
        <v>0.11</v>
      </c>
    </row>
    <row r="25" spans="1:19">
      <c r="A25">
        <v>11</v>
      </c>
      <c r="B25">
        <v>2</v>
      </c>
      <c r="C25" t="s">
        <v>42</v>
      </c>
      <c r="D25">
        <v>421</v>
      </c>
      <c r="E25">
        <v>0.80740000000000001</v>
      </c>
      <c r="F25">
        <v>0.49020000000000002</v>
      </c>
      <c r="G25">
        <v>0.63839999999999997</v>
      </c>
      <c r="H25">
        <v>0.39929999999999999</v>
      </c>
      <c r="I25">
        <v>0.8135</v>
      </c>
      <c r="J25">
        <v>8.5000000000000006E-3</v>
      </c>
      <c r="K25">
        <v>1.8</v>
      </c>
      <c r="L25">
        <v>1.7915000000000001</v>
      </c>
      <c r="M25">
        <v>0.94710000000000005</v>
      </c>
      <c r="N25">
        <v>0.43059999999999998</v>
      </c>
      <c r="O25">
        <v>0.86109999999999998</v>
      </c>
      <c r="P25">
        <v>0.28699999999999998</v>
      </c>
      <c r="Q25">
        <v>0.80840000000000001</v>
      </c>
      <c r="R25">
        <v>0.62909999999999999</v>
      </c>
      <c r="S25">
        <v>0.1041</v>
      </c>
    </row>
    <row r="26" spans="1:19">
      <c r="A26">
        <v>12</v>
      </c>
      <c r="B26">
        <v>2</v>
      </c>
      <c r="C26" t="s">
        <v>43</v>
      </c>
      <c r="D26">
        <v>412</v>
      </c>
      <c r="E26">
        <v>0.80579999999999996</v>
      </c>
      <c r="F26">
        <v>0.46050000000000002</v>
      </c>
      <c r="G26">
        <v>0.59840000000000004</v>
      </c>
      <c r="H26">
        <v>0.37480000000000002</v>
      </c>
      <c r="I26">
        <v>0.80389999999999995</v>
      </c>
      <c r="J26">
        <v>8.0999999999999996E-3</v>
      </c>
      <c r="K26">
        <v>1.8714999999999999</v>
      </c>
      <c r="L26">
        <v>1.8633</v>
      </c>
      <c r="M26">
        <v>0.94810000000000005</v>
      </c>
      <c r="N26">
        <v>0.33800000000000002</v>
      </c>
      <c r="O26">
        <v>1</v>
      </c>
      <c r="P26">
        <v>0.2034</v>
      </c>
      <c r="Q26">
        <v>0.67059999999999997</v>
      </c>
      <c r="R26">
        <v>1.1193</v>
      </c>
      <c r="S26">
        <v>7.9200000000000007E-2</v>
      </c>
    </row>
    <row r="27" spans="1:19">
      <c r="A27">
        <v>26</v>
      </c>
      <c r="B27">
        <v>4</v>
      </c>
      <c r="C27" t="s">
        <v>44</v>
      </c>
      <c r="D27">
        <v>462</v>
      </c>
      <c r="E27">
        <v>0.80400000000000005</v>
      </c>
      <c r="F27">
        <v>0.46510000000000001</v>
      </c>
      <c r="G27">
        <v>0.55430000000000001</v>
      </c>
      <c r="H27">
        <v>0.40189999999999998</v>
      </c>
      <c r="I27">
        <v>0.82079999999999997</v>
      </c>
      <c r="J27">
        <v>1.0800000000000001E-2</v>
      </c>
      <c r="K27">
        <v>1.8736999999999999</v>
      </c>
      <c r="L27">
        <v>1.8629</v>
      </c>
      <c r="M27">
        <v>0.94510000000000005</v>
      </c>
      <c r="N27">
        <v>0.41560000000000002</v>
      </c>
      <c r="O27">
        <v>0.88890000000000002</v>
      </c>
      <c r="P27">
        <v>0.2712</v>
      </c>
      <c r="Q27">
        <v>0.78969999999999996</v>
      </c>
      <c r="R27">
        <v>0.63770000000000004</v>
      </c>
      <c r="S27">
        <v>7.0599999999999996E-2</v>
      </c>
    </row>
    <row r="28" spans="1:19">
      <c r="A28">
        <v>16</v>
      </c>
      <c r="B28">
        <v>3</v>
      </c>
      <c r="C28" t="s">
        <v>45</v>
      </c>
      <c r="D28">
        <v>441</v>
      </c>
      <c r="E28">
        <v>0.80389999999999995</v>
      </c>
      <c r="F28">
        <v>0.4783</v>
      </c>
      <c r="G28">
        <v>0.6069</v>
      </c>
      <c r="H28">
        <v>0.3987</v>
      </c>
      <c r="I28">
        <v>0.81630000000000003</v>
      </c>
      <c r="J28">
        <v>1.03E-2</v>
      </c>
      <c r="K28">
        <v>1.8769</v>
      </c>
      <c r="L28">
        <v>1.8666</v>
      </c>
      <c r="M28">
        <v>0.95309999999999995</v>
      </c>
      <c r="N28">
        <v>0.40760000000000002</v>
      </c>
      <c r="O28">
        <v>0.88890000000000002</v>
      </c>
      <c r="P28">
        <v>0.26450000000000001</v>
      </c>
      <c r="Q28">
        <v>0.78269999999999995</v>
      </c>
      <c r="R28">
        <v>0.69169999999999998</v>
      </c>
      <c r="S28">
        <v>6.9199999999999998E-2</v>
      </c>
    </row>
    <row r="29" spans="1:19">
      <c r="A29">
        <v>5</v>
      </c>
      <c r="B29">
        <v>1</v>
      </c>
      <c r="C29" t="s">
        <v>46</v>
      </c>
      <c r="D29">
        <v>12</v>
      </c>
      <c r="E29">
        <v>0.72360000000000002</v>
      </c>
      <c r="F29">
        <v>0.36109999999999998</v>
      </c>
      <c r="G29">
        <v>0.65459999999999996</v>
      </c>
      <c r="H29">
        <v>0.24979999999999999</v>
      </c>
      <c r="I29">
        <v>0.67469999999999997</v>
      </c>
      <c r="J29">
        <v>0.80459999999999998</v>
      </c>
      <c r="K29">
        <v>1.1065</v>
      </c>
      <c r="L29">
        <v>0.3019</v>
      </c>
      <c r="M29">
        <v>0.74419999999999997</v>
      </c>
      <c r="N29">
        <v>0.26550000000000001</v>
      </c>
      <c r="O29">
        <v>0.83330000000000004</v>
      </c>
      <c r="P29">
        <v>0.15790000000000001</v>
      </c>
      <c r="Q29">
        <v>0.61209999999999998</v>
      </c>
      <c r="R29">
        <v>0.94059999999999999</v>
      </c>
      <c r="S29">
        <v>5.1299999999999998E-2</v>
      </c>
    </row>
    <row r="30" spans="1:19">
      <c r="A30">
        <v>2</v>
      </c>
      <c r="B30">
        <v>1</v>
      </c>
      <c r="C30" t="s">
        <v>47</v>
      </c>
      <c r="D30">
        <v>400</v>
      </c>
      <c r="E30">
        <v>0.80010000000000003</v>
      </c>
      <c r="F30">
        <v>0.45679999999999998</v>
      </c>
      <c r="G30">
        <v>0.56640000000000001</v>
      </c>
      <c r="H30">
        <v>0.3846</v>
      </c>
      <c r="I30">
        <v>0.81179999999999997</v>
      </c>
      <c r="J30">
        <v>7.4999999999999997E-3</v>
      </c>
      <c r="K30">
        <v>1.9347000000000001</v>
      </c>
      <c r="L30">
        <v>1.9273</v>
      </c>
      <c r="M30">
        <v>0.95289999999999997</v>
      </c>
      <c r="N30">
        <v>0.48230000000000001</v>
      </c>
      <c r="O30">
        <v>0.94440000000000002</v>
      </c>
      <c r="P30">
        <v>0.32379999999999998</v>
      </c>
      <c r="Q30">
        <v>0.82940000000000003</v>
      </c>
      <c r="R30">
        <v>0.54959999999999998</v>
      </c>
      <c r="S30">
        <v>3.6299999999999999E-2</v>
      </c>
    </row>
    <row r="31" spans="1:19">
      <c r="A31">
        <v>22</v>
      </c>
      <c r="B31">
        <v>3</v>
      </c>
      <c r="C31" t="s">
        <v>48</v>
      </c>
      <c r="D31">
        <v>442</v>
      </c>
      <c r="E31">
        <v>0.79049999999999998</v>
      </c>
      <c r="F31">
        <v>0.47770000000000001</v>
      </c>
      <c r="G31">
        <v>0.57040000000000002</v>
      </c>
      <c r="H31">
        <v>0.41460000000000002</v>
      </c>
      <c r="I31">
        <v>0.82640000000000002</v>
      </c>
      <c r="J31">
        <v>8.3000000000000001E-3</v>
      </c>
      <c r="K31">
        <v>1.9905999999999999</v>
      </c>
      <c r="L31">
        <v>1.9822</v>
      </c>
      <c r="M31">
        <v>0.93910000000000005</v>
      </c>
      <c r="N31">
        <v>0.44590000000000002</v>
      </c>
      <c r="O31">
        <v>0.91669999999999996</v>
      </c>
      <c r="P31">
        <v>0.29459999999999997</v>
      </c>
      <c r="Q31">
        <v>0.80840000000000001</v>
      </c>
      <c r="R31">
        <v>0.68559999999999999</v>
      </c>
      <c r="S31">
        <v>-2.3300000000000001E-2</v>
      </c>
    </row>
    <row r="32" spans="1:19">
      <c r="A32">
        <v>4</v>
      </c>
      <c r="B32">
        <v>1</v>
      </c>
      <c r="C32" t="s">
        <v>49</v>
      </c>
      <c r="D32">
        <v>21</v>
      </c>
      <c r="E32">
        <v>0.71289999999999998</v>
      </c>
      <c r="F32">
        <v>0.3493</v>
      </c>
      <c r="G32">
        <v>0.64270000000000005</v>
      </c>
      <c r="H32">
        <v>0.24149999999999999</v>
      </c>
      <c r="I32">
        <v>0.66120000000000001</v>
      </c>
      <c r="J32">
        <v>0.69969999999999999</v>
      </c>
      <c r="K32">
        <v>1.1435</v>
      </c>
      <c r="L32">
        <v>0.44379999999999997</v>
      </c>
      <c r="M32">
        <v>0.76349999999999996</v>
      </c>
      <c r="N32">
        <v>0.21690000000000001</v>
      </c>
      <c r="O32">
        <v>0.75</v>
      </c>
      <c r="P32">
        <v>0.1268</v>
      </c>
      <c r="Q32">
        <v>0.5444</v>
      </c>
      <c r="R32">
        <v>0.8841</v>
      </c>
      <c r="S32">
        <v>-3.44E-2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イッシン リュウ</cp:lastModifiedBy>
  <dcterms:created xsi:type="dcterms:W3CDTF">2026-09-01T13:33:40Z</dcterms:created>
  <dcterms:modified xsi:type="dcterms:W3CDTF">2026-09-17T05:52:04Z</dcterms:modified>
</cp:coreProperties>
</file>