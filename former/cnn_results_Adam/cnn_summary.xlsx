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liuyizhen/myproject/research825/cnn_results_Adam/"/>
    </mc:Choice>
  </mc:AlternateContent>
  <xr:revisionPtr revIDLastSave="0" documentId="13_ncr:1_{6BDCD926-7165-A941-8ED6-80E839C54106}" xr6:coauthVersionLast="47" xr6:coauthVersionMax="47" xr10:uidLastSave="{00000000-0000-0000-0000-000000000000}"/>
  <bookViews>
    <workbookView xWindow="-32580" yWindow="2540" windowWidth="28800" windowHeight="16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Z2" i="1"/>
  <c r="W3" i="1"/>
  <c r="W2" i="1"/>
  <c r="V2" i="1"/>
  <c r="U2" i="1"/>
</calcChain>
</file>

<file path=xl/sharedStrings.xml><?xml version="1.0" encoding="utf-8"?>
<sst xmlns="http://schemas.openxmlformats.org/spreadsheetml/2006/main" count="56" uniqueCount="56">
  <si>
    <t>パターンNo</t>
  </si>
  <si>
    <t>手法数</t>
  </si>
  <si>
    <t>手法の組み合わせ</t>
  </si>
  <si>
    <t>次元数</t>
  </si>
  <si>
    <t>ROC-AUC (CV)</t>
  </si>
  <si>
    <t>F1-Score (CV)</t>
  </si>
  <si>
    <t>Sensitivity (CV)</t>
  </si>
  <si>
    <t>Precision (CV)</t>
  </si>
  <si>
    <t>Accuracy (CV)</t>
  </si>
  <si>
    <t>Train Cost</t>
  </si>
  <si>
    <t>Cross Validation Cost</t>
  </si>
  <si>
    <t>Cost_Diff (CV - Train)</t>
  </si>
  <si>
    <t>ROC-AUC (Test)</t>
  </si>
  <si>
    <t>F1-Score (Test)</t>
  </si>
  <si>
    <t>Sensitivity (Test)</t>
  </si>
  <si>
    <t>Precision (Test)</t>
  </si>
  <si>
    <t>Accuracy (Test)</t>
  </si>
  <si>
    <t>Test Cost</t>
  </si>
  <si>
    <t>Composite_Score</t>
  </si>
  <si>
    <t>CTDC + MB</t>
  </si>
  <si>
    <t>AAC + DPC + CTDC + MB</t>
  </si>
  <si>
    <t>DPC + CTDC + MB</t>
  </si>
  <si>
    <t>DPC + CTDT + MB</t>
  </si>
  <si>
    <t>DPC + MB</t>
  </si>
  <si>
    <t>AAC + DPC + CTDT</t>
  </si>
  <si>
    <t>AAC + DPC</t>
  </si>
  <si>
    <t>DPC</t>
  </si>
  <si>
    <t>AAC + DPC + CTDT + MB</t>
  </si>
  <si>
    <t>CTDT + MB</t>
  </si>
  <si>
    <t>AAC + DPC + CTDC</t>
  </si>
  <si>
    <t>DPC + CTDC</t>
  </si>
  <si>
    <t>DPC + CTDT</t>
  </si>
  <si>
    <t>AAC + CTDC + MB</t>
  </si>
  <si>
    <t>AAC + DPC + CTDC + CTDT + MB</t>
  </si>
  <si>
    <t>MB</t>
  </si>
  <si>
    <t>AAC + DPC + CTDC + CTDT</t>
  </si>
  <si>
    <t>AAC + MB</t>
  </si>
  <si>
    <t>DPC + CTDC + CTDT + MB</t>
  </si>
  <si>
    <t>AAC + DPC + MB</t>
  </si>
  <si>
    <t>DPC + CTDC + CTDT</t>
  </si>
  <si>
    <t>AAC + CTDC + CTDT + MB</t>
  </si>
  <si>
    <t>CTDC + CTDT + MB</t>
  </si>
  <si>
    <t>AAC + CTDT</t>
  </si>
  <si>
    <t>AAC + CTDT + MB</t>
  </si>
  <si>
    <t>CTDT</t>
  </si>
  <si>
    <t>AAC</t>
  </si>
  <si>
    <t>CTDC + CTDT</t>
  </si>
  <si>
    <t>AAC + CTDC</t>
  </si>
  <si>
    <t>CTDC</t>
  </si>
  <si>
    <t>AAC + CTDC + CTDT</t>
  </si>
  <si>
    <t>Sum_traincost</t>
    <phoneticPr fontId="2"/>
  </si>
  <si>
    <t>Sum_CVcost</t>
    <phoneticPr fontId="2"/>
  </si>
  <si>
    <t>Difference</t>
    <phoneticPr fontId="2"/>
  </si>
  <si>
    <t>Aver_Sen</t>
    <phoneticPr fontId="2"/>
  </si>
  <si>
    <t>Aver_Spe</t>
    <phoneticPr fontId="2"/>
  </si>
  <si>
    <t>Aver_AUC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</si>
</sst>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zoomScale="125" workbookViewId="0">
      <selection activeCell="C2" sqref="C2"/>
    </sheetView>
  </sheetViews>
  <sheetFormatPr baseColWidth="10" defaultColWidth="8.83203125" defaultRowHeight="14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</row>
    <row r="2" spans="1:26">
      <c r="A2">
        <v>14</v>
      </c>
      <c r="B2">
        <v>2</v>
      </c>
      <c r="C2" t="s">
        <v>19</v>
      </c>
      <c r="D2">
        <v>33</v>
      </c>
      <c r="E2">
        <v>0.68779999999999997</v>
      </c>
      <c r="F2">
        <v>0.32129999999999997</v>
      </c>
      <c r="G2">
        <v>0.66669999999999996</v>
      </c>
      <c r="H2">
        <v>0.21199999999999999</v>
      </c>
      <c r="I2">
        <v>0.60509999999999997</v>
      </c>
      <c r="J2">
        <v>1.0358000000000001</v>
      </c>
      <c r="K2">
        <v>1.1039000000000001</v>
      </c>
      <c r="L2">
        <v>6.8099999999999994E-2</v>
      </c>
      <c r="M2">
        <v>0.75390000000000001</v>
      </c>
      <c r="N2">
        <v>0.24</v>
      </c>
      <c r="O2">
        <v>0.91669999999999996</v>
      </c>
      <c r="P2">
        <v>0.1381</v>
      </c>
      <c r="Q2">
        <v>0.51170000000000004</v>
      </c>
      <c r="R2">
        <v>0.91479999999999995</v>
      </c>
      <c r="S2">
        <v>0.38059999999999999</v>
      </c>
      <c r="U2">
        <f>SUM(J2:J32)</f>
        <v>34.065399999999997</v>
      </c>
      <c r="V2">
        <f>SUM(K2:K32)</f>
        <v>35.3386</v>
      </c>
      <c r="W2">
        <f>U2-V2</f>
        <v>-1.2732000000000028</v>
      </c>
      <c r="X2">
        <f>AVERAGE(G2:G32)</f>
        <v>0.76836451612903234</v>
      </c>
      <c r="Z2">
        <f>AVERAGE(E2:E32)</f>
        <v>0.64252258064516132</v>
      </c>
    </row>
    <row r="3" spans="1:26">
      <c r="A3">
        <v>27</v>
      </c>
      <c r="B3">
        <v>4</v>
      </c>
      <c r="C3" t="s">
        <v>20</v>
      </c>
      <c r="D3">
        <v>453</v>
      </c>
      <c r="E3">
        <v>0.65259999999999996</v>
      </c>
      <c r="F3">
        <v>0.2999</v>
      </c>
      <c r="G3">
        <v>0.83940000000000003</v>
      </c>
      <c r="H3">
        <v>0.18260000000000001</v>
      </c>
      <c r="I3">
        <v>0.45</v>
      </c>
      <c r="J3">
        <v>1.1256999999999999</v>
      </c>
      <c r="K3">
        <v>1.1426000000000001</v>
      </c>
      <c r="L3">
        <v>1.7000000000000001E-2</v>
      </c>
      <c r="M3">
        <v>0.62409999999999999</v>
      </c>
      <c r="N3">
        <v>0.1913</v>
      </c>
      <c r="O3">
        <v>0.91669999999999996</v>
      </c>
      <c r="P3">
        <v>0.10680000000000001</v>
      </c>
      <c r="Q3">
        <v>0.34810000000000002</v>
      </c>
      <c r="R3">
        <v>0.95730000000000004</v>
      </c>
      <c r="S3">
        <v>0.35460000000000003</v>
      </c>
      <c r="W3">
        <f>W2/31</f>
        <v>-4.1070967741935575E-2</v>
      </c>
    </row>
    <row r="4" spans="1:26">
      <c r="A4">
        <v>23</v>
      </c>
      <c r="B4">
        <v>3</v>
      </c>
      <c r="C4" t="s">
        <v>21</v>
      </c>
      <c r="D4">
        <v>433</v>
      </c>
      <c r="E4">
        <v>0.64929999999999999</v>
      </c>
      <c r="F4">
        <v>0.29899999999999999</v>
      </c>
      <c r="G4">
        <v>0.85550000000000004</v>
      </c>
      <c r="H4">
        <v>0.1812</v>
      </c>
      <c r="I4">
        <v>0.43759999999999999</v>
      </c>
      <c r="J4">
        <v>1.1283000000000001</v>
      </c>
      <c r="K4">
        <v>1.1422000000000001</v>
      </c>
      <c r="L4">
        <v>1.3899999999999999E-2</v>
      </c>
      <c r="M4">
        <v>0.75670000000000004</v>
      </c>
      <c r="N4">
        <v>0.1875</v>
      </c>
      <c r="O4">
        <v>0.91669999999999996</v>
      </c>
      <c r="P4">
        <v>0.10440000000000001</v>
      </c>
      <c r="Q4">
        <v>0.33179999999999998</v>
      </c>
      <c r="R4">
        <v>0.95740000000000003</v>
      </c>
      <c r="S4">
        <v>0.3453</v>
      </c>
    </row>
    <row r="5" spans="1:26">
      <c r="A5">
        <v>24</v>
      </c>
      <c r="B5">
        <v>3</v>
      </c>
      <c r="C5" t="s">
        <v>22</v>
      </c>
      <c r="D5">
        <v>433</v>
      </c>
      <c r="E5">
        <v>0.64959999999999996</v>
      </c>
      <c r="F5">
        <v>0.2918</v>
      </c>
      <c r="G5">
        <v>0.82350000000000001</v>
      </c>
      <c r="H5">
        <v>0.1774</v>
      </c>
      <c r="I5">
        <v>0.43990000000000001</v>
      </c>
      <c r="J5">
        <v>1.1323000000000001</v>
      </c>
      <c r="K5">
        <v>1.1472</v>
      </c>
      <c r="L5">
        <v>1.49E-2</v>
      </c>
      <c r="M5">
        <v>0.62629999999999997</v>
      </c>
      <c r="N5">
        <v>0.18540000000000001</v>
      </c>
      <c r="O5">
        <v>0.91669999999999996</v>
      </c>
      <c r="P5">
        <v>0.1031</v>
      </c>
      <c r="Q5">
        <v>0.32240000000000002</v>
      </c>
      <c r="R5">
        <v>0.97440000000000004</v>
      </c>
      <c r="S5">
        <v>0.34329999999999999</v>
      </c>
    </row>
    <row r="6" spans="1:26">
      <c r="A6">
        <v>12</v>
      </c>
      <c r="B6">
        <v>2</v>
      </c>
      <c r="C6" t="s">
        <v>23</v>
      </c>
      <c r="D6">
        <v>412</v>
      </c>
      <c r="E6">
        <v>0.64410000000000001</v>
      </c>
      <c r="F6">
        <v>0.29870000000000002</v>
      </c>
      <c r="G6">
        <v>0.83540000000000003</v>
      </c>
      <c r="H6">
        <v>0.18190000000000001</v>
      </c>
      <c r="I6">
        <v>0.45</v>
      </c>
      <c r="J6">
        <v>1.1306</v>
      </c>
      <c r="K6">
        <v>1.1483000000000001</v>
      </c>
      <c r="L6">
        <v>1.77E-2</v>
      </c>
      <c r="M6">
        <v>0.65529999999999999</v>
      </c>
      <c r="N6">
        <v>0.18659999999999999</v>
      </c>
      <c r="O6">
        <v>0.88890000000000002</v>
      </c>
      <c r="P6">
        <v>0.1042</v>
      </c>
      <c r="Q6">
        <v>0.34810000000000002</v>
      </c>
      <c r="R6">
        <v>0.9677</v>
      </c>
      <c r="S6">
        <v>0.29549999999999998</v>
      </c>
    </row>
    <row r="7" spans="1:26">
      <c r="A7">
        <v>17</v>
      </c>
      <c r="B7">
        <v>3</v>
      </c>
      <c r="C7" t="s">
        <v>24</v>
      </c>
      <c r="D7">
        <v>441</v>
      </c>
      <c r="E7">
        <v>0.64339999999999997</v>
      </c>
      <c r="F7">
        <v>0.30270000000000002</v>
      </c>
      <c r="G7">
        <v>0.83130000000000004</v>
      </c>
      <c r="H7">
        <v>0.1852</v>
      </c>
      <c r="I7">
        <v>0.46289999999999998</v>
      </c>
      <c r="J7">
        <v>1.1285000000000001</v>
      </c>
      <c r="K7">
        <v>1.1453</v>
      </c>
      <c r="L7">
        <v>1.6799999999999999E-2</v>
      </c>
      <c r="M7">
        <v>0.46050000000000002</v>
      </c>
      <c r="N7">
        <v>0.18240000000000001</v>
      </c>
      <c r="O7">
        <v>0.86109999999999998</v>
      </c>
      <c r="P7">
        <v>0.10199999999999999</v>
      </c>
      <c r="Q7">
        <v>0.35049999999999998</v>
      </c>
      <c r="R7">
        <v>0.97389999999999999</v>
      </c>
      <c r="S7">
        <v>0.29449999999999998</v>
      </c>
    </row>
    <row r="8" spans="1:26">
      <c r="A8">
        <v>6</v>
      </c>
      <c r="B8">
        <v>2</v>
      </c>
      <c r="C8" t="s">
        <v>25</v>
      </c>
      <c r="D8">
        <v>420</v>
      </c>
      <c r="E8">
        <v>0.64159999999999995</v>
      </c>
      <c r="F8">
        <v>0.29770000000000002</v>
      </c>
      <c r="G8">
        <v>0.84750000000000003</v>
      </c>
      <c r="H8">
        <v>0.18060000000000001</v>
      </c>
      <c r="I8">
        <v>0.43930000000000002</v>
      </c>
      <c r="J8">
        <v>1.135</v>
      </c>
      <c r="K8">
        <v>1.1491</v>
      </c>
      <c r="L8">
        <v>1.41E-2</v>
      </c>
      <c r="M8">
        <v>0.77149999999999996</v>
      </c>
      <c r="N8">
        <v>0.18990000000000001</v>
      </c>
      <c r="O8">
        <v>0.94440000000000002</v>
      </c>
      <c r="P8">
        <v>0.1056</v>
      </c>
      <c r="Q8">
        <v>0.32240000000000002</v>
      </c>
      <c r="R8">
        <v>0.95150000000000001</v>
      </c>
      <c r="S8">
        <v>0.29360000000000003</v>
      </c>
    </row>
    <row r="9" spans="1:26">
      <c r="A9">
        <v>2</v>
      </c>
      <c r="B9">
        <v>1</v>
      </c>
      <c r="C9" t="s">
        <v>26</v>
      </c>
      <c r="D9">
        <v>400</v>
      </c>
      <c r="E9">
        <v>0.64239999999999997</v>
      </c>
      <c r="F9">
        <v>0.29920000000000002</v>
      </c>
      <c r="G9">
        <v>0.79910000000000003</v>
      </c>
      <c r="H9">
        <v>0.18429999999999999</v>
      </c>
      <c r="I9">
        <v>0.4753</v>
      </c>
      <c r="J9">
        <v>1.127</v>
      </c>
      <c r="K9">
        <v>1.1449</v>
      </c>
      <c r="L9">
        <v>1.7899999999999999E-2</v>
      </c>
      <c r="M9">
        <v>0.70179999999999998</v>
      </c>
      <c r="N9">
        <v>0.20449999999999999</v>
      </c>
      <c r="O9">
        <v>0.88890000000000002</v>
      </c>
      <c r="P9">
        <v>0.11550000000000001</v>
      </c>
      <c r="Q9">
        <v>0.41820000000000002</v>
      </c>
      <c r="R9">
        <v>0.9677</v>
      </c>
      <c r="S9">
        <v>0.28349999999999997</v>
      </c>
    </row>
    <row r="10" spans="1:26">
      <c r="A10">
        <v>28</v>
      </c>
      <c r="B10">
        <v>4</v>
      </c>
      <c r="C10" t="s">
        <v>27</v>
      </c>
      <c r="D10">
        <v>453</v>
      </c>
      <c r="E10">
        <v>0.63819999999999999</v>
      </c>
      <c r="F10">
        <v>0.29720000000000002</v>
      </c>
      <c r="G10">
        <v>0.82730000000000004</v>
      </c>
      <c r="H10">
        <v>0.1812</v>
      </c>
      <c r="I10">
        <v>0.4511</v>
      </c>
      <c r="J10">
        <v>1.1317999999999999</v>
      </c>
      <c r="K10">
        <v>1.1467000000000001</v>
      </c>
      <c r="L10">
        <v>1.4800000000000001E-2</v>
      </c>
      <c r="M10">
        <v>0.69199999999999995</v>
      </c>
      <c r="N10">
        <v>0.18129999999999999</v>
      </c>
      <c r="O10">
        <v>0.86109999999999998</v>
      </c>
      <c r="P10">
        <v>0.1013</v>
      </c>
      <c r="Q10">
        <v>0.3458</v>
      </c>
      <c r="R10">
        <v>0.95230000000000004</v>
      </c>
      <c r="S10">
        <v>0.26819999999999999</v>
      </c>
    </row>
    <row r="11" spans="1:26">
      <c r="A11">
        <v>15</v>
      </c>
      <c r="B11">
        <v>2</v>
      </c>
      <c r="C11" t="s">
        <v>28</v>
      </c>
      <c r="D11">
        <v>33</v>
      </c>
      <c r="E11">
        <v>0.67269999999999996</v>
      </c>
      <c r="F11">
        <v>0.30959999999999999</v>
      </c>
      <c r="G11">
        <v>0.69089999999999996</v>
      </c>
      <c r="H11">
        <v>0.19980000000000001</v>
      </c>
      <c r="I11">
        <v>0.56569999999999998</v>
      </c>
      <c r="J11">
        <v>1.0399</v>
      </c>
      <c r="K11">
        <v>1.1168</v>
      </c>
      <c r="L11">
        <v>7.6899999999999996E-2</v>
      </c>
      <c r="M11">
        <v>0.72529999999999994</v>
      </c>
      <c r="N11">
        <v>0.2135</v>
      </c>
      <c r="O11">
        <v>0.83330000000000004</v>
      </c>
      <c r="P11">
        <v>0.12239999999999999</v>
      </c>
      <c r="Q11">
        <v>0.48359999999999997</v>
      </c>
      <c r="R11">
        <v>0.93389999999999995</v>
      </c>
      <c r="S11">
        <v>0.245</v>
      </c>
    </row>
    <row r="12" spans="1:26">
      <c r="A12">
        <v>16</v>
      </c>
      <c r="B12">
        <v>3</v>
      </c>
      <c r="C12" t="s">
        <v>29</v>
      </c>
      <c r="D12">
        <v>441</v>
      </c>
      <c r="E12">
        <v>0.63619999999999999</v>
      </c>
      <c r="F12">
        <v>0.29959999999999998</v>
      </c>
      <c r="G12">
        <v>0.85960000000000003</v>
      </c>
      <c r="H12">
        <v>0.18140000000000001</v>
      </c>
      <c r="I12">
        <v>0.4365</v>
      </c>
      <c r="J12">
        <v>1.1294999999999999</v>
      </c>
      <c r="K12">
        <v>1.147</v>
      </c>
      <c r="L12">
        <v>1.7500000000000002E-2</v>
      </c>
      <c r="M12">
        <v>0.77339999999999998</v>
      </c>
      <c r="N12">
        <v>0.18440000000000001</v>
      </c>
      <c r="O12">
        <v>0.91669999999999996</v>
      </c>
      <c r="P12">
        <v>0.10249999999999999</v>
      </c>
      <c r="Q12">
        <v>0.31780000000000003</v>
      </c>
      <c r="R12">
        <v>0.95899999999999996</v>
      </c>
      <c r="S12">
        <v>0.24410000000000001</v>
      </c>
    </row>
    <row r="13" spans="1:26">
      <c r="A13">
        <v>10</v>
      </c>
      <c r="B13">
        <v>2</v>
      </c>
      <c r="C13" t="s">
        <v>30</v>
      </c>
      <c r="D13">
        <v>421</v>
      </c>
      <c r="E13">
        <v>0.6351</v>
      </c>
      <c r="F13">
        <v>0.29480000000000001</v>
      </c>
      <c r="G13">
        <v>0.83150000000000002</v>
      </c>
      <c r="H13">
        <v>0.1792</v>
      </c>
      <c r="I13">
        <v>0.44159999999999999</v>
      </c>
      <c r="J13">
        <v>1.131</v>
      </c>
      <c r="K13">
        <v>1.1479999999999999</v>
      </c>
      <c r="L13">
        <v>1.7000000000000001E-2</v>
      </c>
      <c r="M13">
        <v>0.73799999999999999</v>
      </c>
      <c r="N13">
        <v>0.1905</v>
      </c>
      <c r="O13">
        <v>0.94440000000000002</v>
      </c>
      <c r="P13">
        <v>0.10589999999999999</v>
      </c>
      <c r="Q13">
        <v>0.32479999999999998</v>
      </c>
      <c r="R13">
        <v>0.95209999999999995</v>
      </c>
      <c r="S13">
        <v>0.23880000000000001</v>
      </c>
    </row>
    <row r="14" spans="1:26">
      <c r="A14">
        <v>11</v>
      </c>
      <c r="B14">
        <v>2</v>
      </c>
      <c r="C14" t="s">
        <v>31</v>
      </c>
      <c r="D14">
        <v>421</v>
      </c>
      <c r="E14">
        <v>0.63470000000000004</v>
      </c>
      <c r="F14">
        <v>0.29659999999999997</v>
      </c>
      <c r="G14">
        <v>0.82730000000000004</v>
      </c>
      <c r="H14">
        <v>0.18079999999999999</v>
      </c>
      <c r="I14">
        <v>0.44940000000000002</v>
      </c>
      <c r="J14">
        <v>1.1336999999999999</v>
      </c>
      <c r="K14">
        <v>1.1503000000000001</v>
      </c>
      <c r="L14">
        <v>1.66E-2</v>
      </c>
      <c r="M14">
        <v>0.7399</v>
      </c>
      <c r="N14">
        <v>0.19020000000000001</v>
      </c>
      <c r="O14">
        <v>0.91669999999999996</v>
      </c>
      <c r="P14">
        <v>0.1061</v>
      </c>
      <c r="Q14">
        <v>0.34350000000000003</v>
      </c>
      <c r="R14">
        <v>0.95789999999999997</v>
      </c>
      <c r="S14">
        <v>0.23780000000000001</v>
      </c>
    </row>
    <row r="15" spans="1:26">
      <c r="A15">
        <v>20</v>
      </c>
      <c r="B15">
        <v>3</v>
      </c>
      <c r="C15" t="s">
        <v>32</v>
      </c>
      <c r="D15">
        <v>53</v>
      </c>
      <c r="E15">
        <v>0.66739999999999999</v>
      </c>
      <c r="F15">
        <v>0.30049999999999999</v>
      </c>
      <c r="G15">
        <v>0.71489999999999998</v>
      </c>
      <c r="H15">
        <v>0.1908</v>
      </c>
      <c r="I15">
        <v>0.53259999999999996</v>
      </c>
      <c r="J15">
        <v>1.0499000000000001</v>
      </c>
      <c r="K15">
        <v>1.1209</v>
      </c>
      <c r="L15">
        <v>7.0999999999999994E-2</v>
      </c>
      <c r="M15">
        <v>0.74229999999999996</v>
      </c>
      <c r="N15">
        <v>0.2152</v>
      </c>
      <c r="O15">
        <v>0.94440000000000002</v>
      </c>
      <c r="P15">
        <v>0.12139999999999999</v>
      </c>
      <c r="Q15">
        <v>0.42059999999999997</v>
      </c>
      <c r="R15">
        <v>0.90269999999999995</v>
      </c>
      <c r="S15">
        <v>0.2339</v>
      </c>
    </row>
    <row r="16" spans="1:26">
      <c r="A16">
        <v>31</v>
      </c>
      <c r="B16">
        <v>5</v>
      </c>
      <c r="C16" t="s">
        <v>33</v>
      </c>
      <c r="D16">
        <v>474</v>
      </c>
      <c r="E16">
        <v>0.63380000000000003</v>
      </c>
      <c r="F16">
        <v>0.29580000000000001</v>
      </c>
      <c r="G16">
        <v>0.85150000000000003</v>
      </c>
      <c r="H16">
        <v>0.17910000000000001</v>
      </c>
      <c r="I16">
        <v>0.43149999999999999</v>
      </c>
      <c r="J16">
        <v>1.1303000000000001</v>
      </c>
      <c r="K16">
        <v>1.1479999999999999</v>
      </c>
      <c r="L16">
        <v>1.77E-2</v>
      </c>
      <c r="M16">
        <v>0.56369999999999998</v>
      </c>
      <c r="N16">
        <v>0.1855</v>
      </c>
      <c r="O16">
        <v>0.88890000000000002</v>
      </c>
      <c r="P16">
        <v>0.1036</v>
      </c>
      <c r="Q16">
        <v>0.34350000000000003</v>
      </c>
      <c r="R16">
        <v>0.96099999999999997</v>
      </c>
      <c r="S16">
        <v>0.22739999999999999</v>
      </c>
    </row>
    <row r="17" spans="1:19">
      <c r="A17">
        <v>5</v>
      </c>
      <c r="B17">
        <v>1</v>
      </c>
      <c r="C17" t="s">
        <v>34</v>
      </c>
      <c r="D17">
        <v>12</v>
      </c>
      <c r="E17">
        <v>0.68679999999999997</v>
      </c>
      <c r="F17">
        <v>0.3322</v>
      </c>
      <c r="G17">
        <v>0.56999999999999995</v>
      </c>
      <c r="H17">
        <v>0.23730000000000001</v>
      </c>
      <c r="I17">
        <v>0.67979999999999996</v>
      </c>
      <c r="J17">
        <v>0.99390000000000001</v>
      </c>
      <c r="K17">
        <v>1.0988</v>
      </c>
      <c r="L17">
        <v>0.105</v>
      </c>
      <c r="M17">
        <v>0.67600000000000005</v>
      </c>
      <c r="N17">
        <v>0.20449999999999999</v>
      </c>
      <c r="O17">
        <v>0.75</v>
      </c>
      <c r="P17">
        <v>0.11840000000000001</v>
      </c>
      <c r="Q17">
        <v>0.50929999999999997</v>
      </c>
      <c r="R17">
        <v>0.95599999999999996</v>
      </c>
      <c r="S17">
        <v>0.22459999999999999</v>
      </c>
    </row>
    <row r="18" spans="1:19">
      <c r="A18">
        <v>26</v>
      </c>
      <c r="B18">
        <v>4</v>
      </c>
      <c r="C18" t="s">
        <v>35</v>
      </c>
      <c r="D18">
        <v>462</v>
      </c>
      <c r="E18">
        <v>0.63009999999999999</v>
      </c>
      <c r="F18">
        <v>0.28920000000000001</v>
      </c>
      <c r="G18">
        <v>0.83150000000000002</v>
      </c>
      <c r="H18">
        <v>0.17519999999999999</v>
      </c>
      <c r="I18">
        <v>0.4264</v>
      </c>
      <c r="J18">
        <v>1.1329</v>
      </c>
      <c r="K18">
        <v>1.1499999999999999</v>
      </c>
      <c r="L18">
        <v>1.7100000000000001E-2</v>
      </c>
      <c r="M18">
        <v>0.76819999999999999</v>
      </c>
      <c r="N18">
        <v>0.18079999999999999</v>
      </c>
      <c r="O18">
        <v>0.88890000000000002</v>
      </c>
      <c r="P18">
        <v>0.10059999999999999</v>
      </c>
      <c r="Q18">
        <v>0.32240000000000002</v>
      </c>
      <c r="R18">
        <v>0.95030000000000003</v>
      </c>
      <c r="S18">
        <v>0.20530000000000001</v>
      </c>
    </row>
    <row r="19" spans="1:19">
      <c r="A19">
        <v>9</v>
      </c>
      <c r="B19">
        <v>2</v>
      </c>
      <c r="C19" t="s">
        <v>36</v>
      </c>
      <c r="D19">
        <v>32</v>
      </c>
      <c r="E19">
        <v>0.65600000000000003</v>
      </c>
      <c r="F19">
        <v>0.29430000000000001</v>
      </c>
      <c r="G19">
        <v>0.7389</v>
      </c>
      <c r="H19">
        <v>0.184</v>
      </c>
      <c r="I19">
        <v>0.50170000000000003</v>
      </c>
      <c r="J19">
        <v>1.0709</v>
      </c>
      <c r="K19">
        <v>1.1315999999999999</v>
      </c>
      <c r="L19">
        <v>6.0699999999999997E-2</v>
      </c>
      <c r="M19">
        <v>0.70509999999999995</v>
      </c>
      <c r="N19">
        <v>0.1981</v>
      </c>
      <c r="O19">
        <v>0.86109999999999998</v>
      </c>
      <c r="P19">
        <v>0.1119</v>
      </c>
      <c r="Q19">
        <v>0.41360000000000002</v>
      </c>
      <c r="R19">
        <v>0.93220000000000003</v>
      </c>
      <c r="S19">
        <v>0.20019999999999999</v>
      </c>
    </row>
    <row r="20" spans="1:19">
      <c r="A20">
        <v>30</v>
      </c>
      <c r="B20">
        <v>4</v>
      </c>
      <c r="C20" t="s">
        <v>37</v>
      </c>
      <c r="D20">
        <v>454</v>
      </c>
      <c r="E20">
        <v>0.62619999999999998</v>
      </c>
      <c r="F20">
        <v>0.29339999999999999</v>
      </c>
      <c r="G20">
        <v>0.81910000000000005</v>
      </c>
      <c r="H20">
        <v>0.1789</v>
      </c>
      <c r="I20">
        <v>0.44719999999999999</v>
      </c>
      <c r="J20">
        <v>1.1315999999999999</v>
      </c>
      <c r="K20">
        <v>1.1464000000000001</v>
      </c>
      <c r="L20">
        <v>1.4800000000000001E-2</v>
      </c>
      <c r="M20">
        <v>0.70979999999999999</v>
      </c>
      <c r="N20">
        <v>0.18970000000000001</v>
      </c>
      <c r="O20">
        <v>0.91669999999999996</v>
      </c>
      <c r="P20">
        <v>0.10580000000000001</v>
      </c>
      <c r="Q20">
        <v>0.34110000000000001</v>
      </c>
      <c r="R20">
        <v>0.95830000000000004</v>
      </c>
      <c r="S20">
        <v>0.18890000000000001</v>
      </c>
    </row>
    <row r="21" spans="1:19">
      <c r="A21">
        <v>18</v>
      </c>
      <c r="B21">
        <v>3</v>
      </c>
      <c r="C21" t="s">
        <v>38</v>
      </c>
      <c r="D21">
        <v>432</v>
      </c>
      <c r="E21">
        <v>0.62519999999999998</v>
      </c>
      <c r="F21">
        <v>0.30230000000000001</v>
      </c>
      <c r="G21">
        <v>0.84740000000000004</v>
      </c>
      <c r="H21">
        <v>0.18410000000000001</v>
      </c>
      <c r="I21">
        <v>0.45169999999999999</v>
      </c>
      <c r="J21">
        <v>1.1332</v>
      </c>
      <c r="K21">
        <v>1.149</v>
      </c>
      <c r="L21">
        <v>1.5800000000000002E-2</v>
      </c>
      <c r="M21">
        <v>0.64890000000000003</v>
      </c>
      <c r="N21">
        <v>0.18970000000000001</v>
      </c>
      <c r="O21">
        <v>0.91669999999999996</v>
      </c>
      <c r="P21">
        <v>0.10580000000000001</v>
      </c>
      <c r="Q21">
        <v>0.34110000000000001</v>
      </c>
      <c r="R21">
        <v>0.95550000000000002</v>
      </c>
      <c r="S21">
        <v>0.1782</v>
      </c>
    </row>
    <row r="22" spans="1:19">
      <c r="A22">
        <v>22</v>
      </c>
      <c r="B22">
        <v>3</v>
      </c>
      <c r="C22" t="s">
        <v>39</v>
      </c>
      <c r="D22">
        <v>442</v>
      </c>
      <c r="E22">
        <v>0.62290000000000001</v>
      </c>
      <c r="F22">
        <v>0.29310000000000003</v>
      </c>
      <c r="G22">
        <v>0.82730000000000004</v>
      </c>
      <c r="H22">
        <v>0.1782</v>
      </c>
      <c r="I22">
        <v>0.44040000000000001</v>
      </c>
      <c r="J22">
        <v>1.133</v>
      </c>
      <c r="K22">
        <v>1.151</v>
      </c>
      <c r="L22">
        <v>1.8100000000000002E-2</v>
      </c>
      <c r="M22">
        <v>0.63819999999999999</v>
      </c>
      <c r="N22">
        <v>0.187</v>
      </c>
      <c r="O22">
        <v>0.91669999999999996</v>
      </c>
      <c r="P22">
        <v>0.1041</v>
      </c>
      <c r="Q22">
        <v>0.32940000000000003</v>
      </c>
      <c r="R22">
        <v>0.96489999999999998</v>
      </c>
      <c r="S22">
        <v>0.1537</v>
      </c>
    </row>
    <row r="23" spans="1:19">
      <c r="A23">
        <v>29</v>
      </c>
      <c r="B23">
        <v>4</v>
      </c>
      <c r="C23" t="s">
        <v>40</v>
      </c>
      <c r="D23">
        <v>74</v>
      </c>
      <c r="E23">
        <v>0.62949999999999995</v>
      </c>
      <c r="F23">
        <v>0.28270000000000001</v>
      </c>
      <c r="G23">
        <v>0.74690000000000001</v>
      </c>
      <c r="H23">
        <v>0.17460000000000001</v>
      </c>
      <c r="I23">
        <v>0.46850000000000003</v>
      </c>
      <c r="J23">
        <v>1.1140000000000001</v>
      </c>
      <c r="K23">
        <v>1.1524000000000001</v>
      </c>
      <c r="L23">
        <v>3.8399999999999997E-2</v>
      </c>
      <c r="M23">
        <v>0.70240000000000002</v>
      </c>
      <c r="N23">
        <v>0.19800000000000001</v>
      </c>
      <c r="O23">
        <v>0.83330000000000004</v>
      </c>
      <c r="P23">
        <v>0.1124</v>
      </c>
      <c r="Q23">
        <v>0.43219999999999997</v>
      </c>
      <c r="R23">
        <v>0.93330000000000002</v>
      </c>
      <c r="S23">
        <v>0.11509999999999999</v>
      </c>
    </row>
    <row r="24" spans="1:19">
      <c r="A24">
        <v>25</v>
      </c>
      <c r="B24">
        <v>3</v>
      </c>
      <c r="C24" t="s">
        <v>41</v>
      </c>
      <c r="D24">
        <v>54</v>
      </c>
      <c r="E24">
        <v>0.63880000000000003</v>
      </c>
      <c r="F24">
        <v>0.2893</v>
      </c>
      <c r="G24">
        <v>0.64690000000000003</v>
      </c>
      <c r="H24">
        <v>0.18640000000000001</v>
      </c>
      <c r="I24">
        <v>0.55559999999999998</v>
      </c>
      <c r="J24">
        <v>1.0901000000000001</v>
      </c>
      <c r="K24">
        <v>1.1451</v>
      </c>
      <c r="L24">
        <v>5.5100000000000003E-2</v>
      </c>
      <c r="M24">
        <v>0.75209999999999999</v>
      </c>
      <c r="N24">
        <v>0.23080000000000001</v>
      </c>
      <c r="O24">
        <v>0.83330000000000004</v>
      </c>
      <c r="P24">
        <v>0.13389999999999999</v>
      </c>
      <c r="Q24">
        <v>0.53269999999999995</v>
      </c>
      <c r="R24">
        <v>0.91359999999999997</v>
      </c>
      <c r="S24">
        <v>0.1091</v>
      </c>
    </row>
    <row r="25" spans="1:19">
      <c r="A25">
        <v>8</v>
      </c>
      <c r="B25">
        <v>2</v>
      </c>
      <c r="C25" t="s">
        <v>42</v>
      </c>
      <c r="D25">
        <v>41</v>
      </c>
      <c r="E25">
        <v>0.63829999999999998</v>
      </c>
      <c r="F25">
        <v>0.29189999999999999</v>
      </c>
      <c r="G25">
        <v>0.78259999999999996</v>
      </c>
      <c r="H25">
        <v>0.17949999999999999</v>
      </c>
      <c r="I25">
        <v>0.47020000000000001</v>
      </c>
      <c r="J25">
        <v>1.0791999999999999</v>
      </c>
      <c r="K25">
        <v>1.1358999999999999</v>
      </c>
      <c r="L25">
        <v>5.67E-2</v>
      </c>
      <c r="M25">
        <v>0.73360000000000003</v>
      </c>
      <c r="N25">
        <v>0.20619999999999999</v>
      </c>
      <c r="O25">
        <v>0.91669999999999996</v>
      </c>
      <c r="P25">
        <v>0.1162</v>
      </c>
      <c r="Q25">
        <v>0.40649999999999997</v>
      </c>
      <c r="R25">
        <v>0.91469999999999996</v>
      </c>
      <c r="S25">
        <v>9.9299999999999999E-2</v>
      </c>
    </row>
    <row r="26" spans="1:19">
      <c r="A26">
        <v>21</v>
      </c>
      <c r="B26">
        <v>3</v>
      </c>
      <c r="C26" t="s">
        <v>43</v>
      </c>
      <c r="D26">
        <v>53</v>
      </c>
      <c r="E26">
        <v>0.63019999999999998</v>
      </c>
      <c r="F26">
        <v>0.29470000000000002</v>
      </c>
      <c r="G26">
        <v>0.78310000000000002</v>
      </c>
      <c r="H26">
        <v>0.1817</v>
      </c>
      <c r="I26">
        <v>0.47299999999999998</v>
      </c>
      <c r="J26">
        <v>1.1014999999999999</v>
      </c>
      <c r="K26">
        <v>1.1460999999999999</v>
      </c>
      <c r="L26">
        <v>4.4499999999999998E-2</v>
      </c>
      <c r="M26">
        <v>0.65469999999999995</v>
      </c>
      <c r="N26">
        <v>0.18890000000000001</v>
      </c>
      <c r="O26">
        <v>0.80559999999999998</v>
      </c>
      <c r="P26">
        <v>0.107</v>
      </c>
      <c r="Q26">
        <v>0.41820000000000002</v>
      </c>
      <c r="R26">
        <v>0.93720000000000003</v>
      </c>
      <c r="S26">
        <v>9.5100000000000004E-2</v>
      </c>
    </row>
    <row r="27" spans="1:19">
      <c r="A27">
        <v>4</v>
      </c>
      <c r="B27">
        <v>1</v>
      </c>
      <c r="C27" t="s">
        <v>44</v>
      </c>
      <c r="D27">
        <v>21</v>
      </c>
      <c r="E27">
        <v>0.64429999999999998</v>
      </c>
      <c r="F27">
        <v>0.2964</v>
      </c>
      <c r="G27">
        <v>0.75900000000000001</v>
      </c>
      <c r="H27">
        <v>0.18479999999999999</v>
      </c>
      <c r="I27">
        <v>0.4955</v>
      </c>
      <c r="J27">
        <v>1.0475000000000001</v>
      </c>
      <c r="K27">
        <v>1.1243000000000001</v>
      </c>
      <c r="L27">
        <v>7.6899999999999996E-2</v>
      </c>
      <c r="M27">
        <v>0.74709999999999999</v>
      </c>
      <c r="N27">
        <v>0.21579999999999999</v>
      </c>
      <c r="O27">
        <v>0.83330000000000004</v>
      </c>
      <c r="P27">
        <v>0.124</v>
      </c>
      <c r="Q27">
        <v>0.49070000000000003</v>
      </c>
      <c r="R27">
        <v>0.89800000000000002</v>
      </c>
      <c r="S27">
        <v>5.7200000000000001E-2</v>
      </c>
    </row>
    <row r="28" spans="1:19">
      <c r="A28">
        <v>1</v>
      </c>
      <c r="B28">
        <v>1</v>
      </c>
      <c r="C28" t="s">
        <v>45</v>
      </c>
      <c r="D28">
        <v>20</v>
      </c>
      <c r="E28">
        <v>0.66379999999999995</v>
      </c>
      <c r="F28">
        <v>0.28770000000000001</v>
      </c>
      <c r="G28">
        <v>0.60609999999999997</v>
      </c>
      <c r="H28">
        <v>0.18940000000000001</v>
      </c>
      <c r="I28">
        <v>0.57979999999999998</v>
      </c>
      <c r="J28">
        <v>1.0065</v>
      </c>
      <c r="K28">
        <v>1.1191</v>
      </c>
      <c r="L28">
        <v>0.11269999999999999</v>
      </c>
      <c r="M28">
        <v>0.77510000000000001</v>
      </c>
      <c r="N28">
        <v>0.23619999999999999</v>
      </c>
      <c r="O28">
        <v>0.88890000000000002</v>
      </c>
      <c r="P28">
        <v>0.13619999999999999</v>
      </c>
      <c r="Q28">
        <v>0.51639999999999997</v>
      </c>
      <c r="R28">
        <v>0.88370000000000004</v>
      </c>
      <c r="S28">
        <v>4.1200000000000001E-2</v>
      </c>
    </row>
    <row r="29" spans="1:19">
      <c r="A29">
        <v>13</v>
      </c>
      <c r="B29">
        <v>2</v>
      </c>
      <c r="C29" t="s">
        <v>46</v>
      </c>
      <c r="D29">
        <v>42</v>
      </c>
      <c r="E29">
        <v>0.63070000000000004</v>
      </c>
      <c r="F29">
        <v>0.27939999999999998</v>
      </c>
      <c r="G29">
        <v>0.71509999999999996</v>
      </c>
      <c r="H29">
        <v>0.1739</v>
      </c>
      <c r="I29">
        <v>0.48089999999999999</v>
      </c>
      <c r="J29">
        <v>1.0784</v>
      </c>
      <c r="K29">
        <v>1.1388</v>
      </c>
      <c r="L29">
        <v>6.0400000000000002E-2</v>
      </c>
      <c r="M29">
        <v>0.80859999999999999</v>
      </c>
      <c r="N29">
        <v>0.27500000000000002</v>
      </c>
      <c r="O29">
        <v>0.91669999999999996</v>
      </c>
      <c r="P29">
        <v>0.1618</v>
      </c>
      <c r="Q29">
        <v>0.59350000000000003</v>
      </c>
      <c r="R29">
        <v>0.85580000000000001</v>
      </c>
      <c r="S29">
        <v>3.4000000000000002E-2</v>
      </c>
    </row>
    <row r="30" spans="1:19">
      <c r="A30">
        <v>7</v>
      </c>
      <c r="B30">
        <v>2</v>
      </c>
      <c r="C30" t="s">
        <v>47</v>
      </c>
      <c r="D30">
        <v>41</v>
      </c>
      <c r="E30">
        <v>0.63649999999999995</v>
      </c>
      <c r="F30">
        <v>0.29170000000000001</v>
      </c>
      <c r="G30">
        <v>0.72270000000000001</v>
      </c>
      <c r="H30">
        <v>0.1832</v>
      </c>
      <c r="I30">
        <v>0.50729999999999997</v>
      </c>
      <c r="J30">
        <v>1.0687</v>
      </c>
      <c r="K30">
        <v>1.1409</v>
      </c>
      <c r="L30">
        <v>7.2099999999999997E-2</v>
      </c>
      <c r="M30">
        <v>0.83179999999999998</v>
      </c>
      <c r="N30">
        <v>0.2349</v>
      </c>
      <c r="O30">
        <v>0.91669999999999996</v>
      </c>
      <c r="P30">
        <v>0.13469999999999999</v>
      </c>
      <c r="Q30">
        <v>0.49769999999999998</v>
      </c>
      <c r="R30">
        <v>0.86170000000000002</v>
      </c>
      <c r="S30">
        <v>2.5000000000000001E-2</v>
      </c>
    </row>
    <row r="31" spans="1:19">
      <c r="A31">
        <v>3</v>
      </c>
      <c r="B31">
        <v>1</v>
      </c>
      <c r="C31" t="s">
        <v>48</v>
      </c>
      <c r="D31">
        <v>21</v>
      </c>
      <c r="E31">
        <v>0.63290000000000002</v>
      </c>
      <c r="F31">
        <v>0.2868</v>
      </c>
      <c r="G31">
        <v>0.54220000000000002</v>
      </c>
      <c r="H31">
        <v>0.1953</v>
      </c>
      <c r="I31">
        <v>0.62129999999999996</v>
      </c>
      <c r="J31">
        <v>1.075</v>
      </c>
      <c r="K31">
        <v>1.1473</v>
      </c>
      <c r="L31">
        <v>7.2300000000000003E-2</v>
      </c>
      <c r="M31">
        <v>0.82240000000000002</v>
      </c>
      <c r="N31">
        <v>0.25600000000000001</v>
      </c>
      <c r="O31">
        <v>0.88890000000000002</v>
      </c>
      <c r="P31">
        <v>0.14949999999999999</v>
      </c>
      <c r="Q31">
        <v>0.56540000000000001</v>
      </c>
      <c r="R31">
        <v>0.89029999999999998</v>
      </c>
      <c r="S31">
        <v>4.0000000000000002E-4</v>
      </c>
    </row>
    <row r="32" spans="1:19">
      <c r="A32">
        <v>19</v>
      </c>
      <c r="B32">
        <v>3</v>
      </c>
      <c r="C32" t="s">
        <v>49</v>
      </c>
      <c r="D32">
        <v>62</v>
      </c>
      <c r="E32">
        <v>0.59709999999999996</v>
      </c>
      <c r="F32">
        <v>0.27539999999999998</v>
      </c>
      <c r="G32">
        <v>0.77910000000000001</v>
      </c>
      <c r="H32">
        <v>0.1673</v>
      </c>
      <c r="I32">
        <v>0.42580000000000001</v>
      </c>
      <c r="J32">
        <v>1.1196999999999999</v>
      </c>
      <c r="K32">
        <v>1.1607000000000001</v>
      </c>
      <c r="L32">
        <v>4.1000000000000002E-2</v>
      </c>
      <c r="M32">
        <v>0.79069999999999996</v>
      </c>
      <c r="N32">
        <v>0.23100000000000001</v>
      </c>
      <c r="O32">
        <v>0.97219999999999995</v>
      </c>
      <c r="P32">
        <v>0.13109999999999999</v>
      </c>
      <c r="Q32">
        <v>0.4556</v>
      </c>
      <c r="R32">
        <v>0.90110000000000001</v>
      </c>
      <c r="S32">
        <v>-0.10970000000000001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イッシン リュウ</cp:lastModifiedBy>
  <dcterms:created xsi:type="dcterms:W3CDTF">2026-09-02T06:50:36Z</dcterms:created>
  <dcterms:modified xsi:type="dcterms:W3CDTF">2026-09-17T05:52:01Z</dcterms:modified>
</cp:coreProperties>
</file>